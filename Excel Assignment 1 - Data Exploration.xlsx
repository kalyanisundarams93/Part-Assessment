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TA ANALYST\Assignments\Excel\"/>
    </mc:Choice>
  </mc:AlternateContent>
  <xr:revisionPtr revIDLastSave="0" documentId="13_ncr:1_{1F704833-1AEA-42EA-9483-E1F8FF58D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UM,COUNT,AVERAGE" sheetId="2" r:id="rId2"/>
    <sheet name="MAX,MIN" sheetId="3" r:id="rId3"/>
    <sheet name="IF" sheetId="4" r:id="rId4"/>
    <sheet name="SUMIF,COUNTIF" sheetId="5" r:id="rId5"/>
    <sheet name="LEFT,RIGHT,MID" sheetId="6" r:id="rId6"/>
  </sheets>
  <definedNames>
    <definedName name="_xlnm._FilterDatabase" localSheetId="4" hidden="1">'SUMIF,COUNTIF'!$A$1:$F$35</definedName>
  </definedNames>
  <calcPr calcId="191029"/>
  <extLst>
    <ext uri="GoogleSheetsCustomDataVersion2">
      <go:sheetsCustomData xmlns:go="http://customooxmlschemas.google.com/" r:id="rId7" roundtripDataChecksum="hJb8T1ZghnA6qFS/bC5j8xshLTM/vtIaNva7vzkMTCI=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2" i="6"/>
  <c r="O9" i="5"/>
  <c r="O8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J9" i="3"/>
  <c r="J8" i="3"/>
  <c r="L8" i="2"/>
  <c r="L7" i="2"/>
  <c r="L6" i="2"/>
</calcChain>
</file>

<file path=xl/sharedStrings.xml><?xml version="1.0" encoding="utf-8"?>
<sst xmlns="http://schemas.openxmlformats.org/spreadsheetml/2006/main" count="863" uniqueCount="104">
  <si>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</si>
  <si>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</si>
  <si>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</si>
  <si>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</si>
  <si>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</si>
  <si>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</si>
  <si>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</si>
  <si>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</si>
  <si>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</si>
  <si>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</si>
  <si>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</si>
  <si>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</si>
  <si>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</si>
  <si>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</si>
  <si>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</si>
  <si>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</si>
  <si>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</si>
  <si>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</si>
  <si>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</si>
  <si>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</si>
  <si>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</si>
  <si>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</si>
  <si>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</si>
  <si>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</si>
  <si>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</si>
  <si>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</si>
  <si>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</si>
  <si>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</si>
  <si>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</si>
  <si>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</si>
  <si>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</si>
  <si>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</si>
  <si>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</si>
  <si>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</si>
  <si>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</si>
  <si>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</si>
  <si>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</si>
  <si>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</si>
  <si>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</si>
  <si>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</si>
  <si>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</si>
  <si>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</si>
  <si>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</si>
  <si>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</si>
  <si>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</si>
  <si>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</si>
  <si>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</si>
  <si>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</si>
  <si>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</si>
  <si>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</si>
  <si>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</si>
  <si>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</si>
  <si>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</si>
  <si>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</si>
  <si>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</si>
  <si>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</si>
  <si>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</si>
  <si>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</si>
  <si>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</si>
  <si>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</si>
  <si>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</si>
  <si>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</si>
  <si>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</si>
  <si>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</si>
  <si>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</si>
  <si>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</si>
  <si>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</si>
  <si>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</si>
  <si>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</si>
  <si>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</si>
  <si>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</si>
  <si>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</si>
  <si>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</si>
  <si>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</si>
  <si>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</si>
  <si>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</si>
  <si>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</si>
  <si>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</si>
  <si>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</si>
  <si>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</si>
  <si>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</si>
  <si>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</si>
  <si>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</si>
  <si>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</si>
  <si>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</si>
  <si>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</si>
  <si>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</si>
  <si>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</si>
  <si>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</si>
  <si>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</si>
  <si>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</si>
  <si>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</si>
  <si>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</si>
  <si>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</si>
  <si>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How many Products exixt in the data set</t>
  </si>
  <si>
    <t>Average Price of the products</t>
  </si>
  <si>
    <t>MAXIMUM PRICE</t>
  </si>
  <si>
    <t>MINIMUM PRICE</t>
  </si>
  <si>
    <t>Price Range</t>
  </si>
  <si>
    <t>Total Price of Products in Electronics</t>
  </si>
  <si>
    <t>Number of Products with Price less than 100</t>
  </si>
  <si>
    <t>Country Code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</si>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</sst>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7" workbookViewId="0">
      <selection sqref="A1:F35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8A45-009D-4796-936C-63E62C1296C4}">
  <dimension ref="A1:L35"/>
  <sheetViews>
    <sheetView workbookViewId="0">
      <selection activeCell="L22" sqref="L22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6" max="6" width="11" bestFit="1" customWidth="1"/>
    <col min="11" max="11" width="3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12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12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12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12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K6" s="6" t="s">
        <v>93</v>
      </c>
      <c r="L6">
        <f>SUM(D2:D35)</f>
        <v>10100</v>
      </c>
    </row>
    <row r="7" spans="1:12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K7" s="6" t="s">
        <v>94</v>
      </c>
      <c r="L7">
        <f>COUNTA(B2:B35)</f>
        <v>34</v>
      </c>
    </row>
    <row r="8" spans="1:12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K8" s="6" t="s">
        <v>95</v>
      </c>
      <c r="L8">
        <f>AVERAGE(D2:D35)</f>
        <v>297.05882352941177</v>
      </c>
    </row>
    <row r="9" spans="1:12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</row>
    <row r="10" spans="1:12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12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12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12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12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12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12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169E-B810-4E39-95A6-2278142C7E3C}">
  <dimension ref="A1:J35"/>
  <sheetViews>
    <sheetView topLeftCell="A5" workbookViewId="0">
      <selection sqref="A1:F35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9" max="9" width="15.77734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10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10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10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10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10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10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I8" s="6" t="s">
        <v>96</v>
      </c>
      <c r="J8">
        <f>MAX(D2:D35)</f>
        <v>1000</v>
      </c>
    </row>
    <row r="9" spans="1:10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I9" s="6" t="s">
        <v>97</v>
      </c>
      <c r="J9">
        <f>MIN(D2:D35)</f>
        <v>30</v>
      </c>
    </row>
    <row r="10" spans="1:10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10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10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10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10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10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10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4A65-37AB-4D9B-9408-E690A672BFE5}">
  <dimension ref="A1:G35"/>
  <sheetViews>
    <sheetView workbookViewId="0">
      <selection activeCell="G2" sqref="G2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4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98</v>
      </c>
    </row>
    <row r="2" spans="1:7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t="str">
        <f>IF(D2 &gt;= 500, "High Price", "Standard Price")</f>
        <v>High Price</v>
      </c>
    </row>
    <row r="3" spans="1:7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t="str">
        <f t="shared" ref="G3:G35" si="0">IF(D3 &gt;= 500, "High Price", "Standard Price")</f>
        <v>Standard Price</v>
      </c>
    </row>
    <row r="4" spans="1:7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t="str">
        <f t="shared" si="0"/>
        <v>Standard Price</v>
      </c>
    </row>
    <row r="5" spans="1:7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t="str">
        <f t="shared" si="0"/>
        <v>High Price</v>
      </c>
    </row>
    <row r="6" spans="1:7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t="str">
        <f t="shared" si="0"/>
        <v>Standard Price</v>
      </c>
    </row>
    <row r="7" spans="1:7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t="str">
        <f t="shared" si="0"/>
        <v>Standard Price</v>
      </c>
    </row>
    <row r="8" spans="1:7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t="str">
        <f t="shared" si="0"/>
        <v>Standard Price</v>
      </c>
    </row>
    <row r="9" spans="1:7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t="str">
        <f t="shared" si="0"/>
        <v>Standard Price</v>
      </c>
    </row>
    <row r="10" spans="1:7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t="str">
        <f t="shared" si="0"/>
        <v>High Price</v>
      </c>
    </row>
    <row r="11" spans="1:7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t="str">
        <f t="shared" si="0"/>
        <v>Standard Price</v>
      </c>
    </row>
    <row r="12" spans="1:7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t="str">
        <f t="shared" si="0"/>
        <v>High Price</v>
      </c>
    </row>
    <row r="13" spans="1:7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t="str">
        <f t="shared" si="0"/>
        <v>Standard Price</v>
      </c>
    </row>
    <row r="14" spans="1:7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t="str">
        <f t="shared" si="0"/>
        <v>Standard Price</v>
      </c>
    </row>
    <row r="15" spans="1:7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t="str">
        <f t="shared" si="0"/>
        <v>Standard Price</v>
      </c>
    </row>
    <row r="16" spans="1:7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t="str">
        <f t="shared" si="0"/>
        <v>Standard Price</v>
      </c>
    </row>
    <row r="17" spans="1:7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t="str">
        <f t="shared" si="0"/>
        <v>Standard Price</v>
      </c>
    </row>
    <row r="18" spans="1:7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t="str">
        <f t="shared" si="0"/>
        <v>Standard Price</v>
      </c>
    </row>
    <row r="19" spans="1:7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t="str">
        <f t="shared" si="0"/>
        <v>High Price</v>
      </c>
    </row>
    <row r="20" spans="1:7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t="str">
        <f t="shared" si="0"/>
        <v>Standard Price</v>
      </c>
    </row>
    <row r="21" spans="1:7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t="str">
        <f t="shared" si="0"/>
        <v>Standard Price</v>
      </c>
    </row>
    <row r="22" spans="1:7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t="str">
        <f t="shared" si="0"/>
        <v>High Price</v>
      </c>
    </row>
    <row r="23" spans="1:7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t="str">
        <f t="shared" si="0"/>
        <v>Standard Price</v>
      </c>
    </row>
    <row r="24" spans="1:7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t="str">
        <f t="shared" si="0"/>
        <v>Standard Price</v>
      </c>
    </row>
    <row r="25" spans="1:7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t="str">
        <f t="shared" si="0"/>
        <v>Standard Price</v>
      </c>
    </row>
    <row r="26" spans="1:7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t="str">
        <f t="shared" si="0"/>
        <v>High Price</v>
      </c>
    </row>
    <row r="27" spans="1:7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t="str">
        <f t="shared" si="0"/>
        <v>Standard Price</v>
      </c>
    </row>
    <row r="28" spans="1:7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t="str">
        <f t="shared" si="0"/>
        <v>Standard Price</v>
      </c>
    </row>
    <row r="29" spans="1:7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t="str">
        <f t="shared" si="0"/>
        <v>Standard Price</v>
      </c>
    </row>
    <row r="30" spans="1:7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t="str">
        <f t="shared" si="0"/>
        <v>Standard Price</v>
      </c>
    </row>
    <row r="31" spans="1:7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t="str">
        <f t="shared" si="0"/>
        <v>Standard Price</v>
      </c>
    </row>
    <row r="32" spans="1:7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t="str">
        <f t="shared" si="0"/>
        <v>Standard Price</v>
      </c>
    </row>
    <row r="33" spans="1:7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t="str">
        <f t="shared" si="0"/>
        <v>Standard Price</v>
      </c>
    </row>
    <row r="34" spans="1:7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t="str">
        <f t="shared" si="0"/>
        <v>High Price</v>
      </c>
    </row>
    <row r="35" spans="1:7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t="str">
        <f t="shared" si="0"/>
        <v>Standard Price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0A8B-D431-43EC-A001-4C27314FF032}">
  <dimension ref="A1:O35"/>
  <sheetViews>
    <sheetView workbookViewId="0">
      <selection activeCell="D31" sqref="D31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11" max="11" width="12.77734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15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15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15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15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15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15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K8" s="8" t="s">
        <v>99</v>
      </c>
      <c r="L8" s="8"/>
      <c r="M8" s="8"/>
      <c r="N8" s="8"/>
      <c r="O8">
        <f>SUMIF(F2:F35,"Electronics",D2:D35)</f>
        <v>8050</v>
      </c>
    </row>
    <row r="9" spans="1:15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K9" s="8" t="s">
        <v>100</v>
      </c>
      <c r="L9" s="8"/>
      <c r="M9" s="8"/>
      <c r="N9" s="8"/>
      <c r="O9">
        <f>COUNTIF(D2:D35, "&lt; 100")</f>
        <v>11</v>
      </c>
    </row>
    <row r="10" spans="1:15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15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15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15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15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15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15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</sheetData>
  <mergeCells count="2">
    <mergeCell ref="K8:N8"/>
    <mergeCell ref="K9:N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E709-28F9-4CE0-8E6A-3C2F22818CFA}">
  <dimension ref="A1:I35"/>
  <sheetViews>
    <sheetView workbookViewId="0">
      <selection activeCell="J14" sqref="J14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8" max="8" width="13.332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102</v>
      </c>
      <c r="H1" s="7" t="s">
        <v>101</v>
      </c>
      <c r="I1" s="7" t="s">
        <v>103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t="str">
        <f>LEFT(A2,2)</f>
        <v>28</v>
      </c>
      <c r="H2" t="str">
        <f>RIGHT(A2,2)</f>
        <v>US</v>
      </c>
      <c r="I2" t="str">
        <f>MID(A2,4,3)</f>
        <v>JAN</v>
      </c>
    </row>
    <row r="3" spans="1:9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t="str">
        <f t="shared" ref="G3:G35" si="0">LEFT(A3,2)</f>
        <v>15</v>
      </c>
      <c r="H3" t="str">
        <f t="shared" ref="H3:H35" si="1">RIGHT(A3,2)</f>
        <v>US</v>
      </c>
      <c r="I3" t="str">
        <f t="shared" ref="I3:I35" si="2">MID(A3,4,3)</f>
        <v>FEB</v>
      </c>
    </row>
    <row r="4" spans="1:9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t="str">
        <f t="shared" si="0"/>
        <v>03</v>
      </c>
      <c r="H4" t="str">
        <f t="shared" si="1"/>
        <v>US</v>
      </c>
      <c r="I4" t="str">
        <f t="shared" si="2"/>
        <v>MAR</v>
      </c>
    </row>
    <row r="5" spans="1:9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t="str">
        <f t="shared" si="0"/>
        <v>11</v>
      </c>
      <c r="H5" t="str">
        <f t="shared" si="1"/>
        <v>US</v>
      </c>
      <c r="I5" t="str">
        <f t="shared" si="2"/>
        <v>APR</v>
      </c>
    </row>
    <row r="6" spans="1:9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t="str">
        <f t="shared" si="0"/>
        <v>22</v>
      </c>
      <c r="H6" t="str">
        <f t="shared" si="1"/>
        <v>US</v>
      </c>
      <c r="I6" t="str">
        <f t="shared" si="2"/>
        <v>MAY</v>
      </c>
    </row>
    <row r="7" spans="1:9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t="str">
        <f t="shared" si="0"/>
        <v>07</v>
      </c>
      <c r="H7" t="str">
        <f t="shared" si="1"/>
        <v>UK</v>
      </c>
      <c r="I7" t="str">
        <f t="shared" si="2"/>
        <v>JUN</v>
      </c>
    </row>
    <row r="8" spans="1:9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t="str">
        <f t="shared" si="0"/>
        <v>19</v>
      </c>
      <c r="H8" t="str">
        <f t="shared" si="1"/>
        <v>UK</v>
      </c>
      <c r="I8" t="str">
        <f t="shared" si="2"/>
        <v>JUL</v>
      </c>
    </row>
    <row r="9" spans="1:9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t="str">
        <f t="shared" si="0"/>
        <v>23</v>
      </c>
      <c r="H9" t="str">
        <f t="shared" si="1"/>
        <v>UK</v>
      </c>
      <c r="I9" t="str">
        <f t="shared" si="2"/>
        <v>AUG</v>
      </c>
    </row>
    <row r="10" spans="1:9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t="str">
        <f t="shared" si="0"/>
        <v>05</v>
      </c>
      <c r="H10" t="str">
        <f t="shared" si="1"/>
        <v>UK</v>
      </c>
      <c r="I10" t="str">
        <f t="shared" si="2"/>
        <v>SEP</v>
      </c>
    </row>
    <row r="11" spans="1:9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t="str">
        <f t="shared" si="0"/>
        <v>14</v>
      </c>
      <c r="H11" t="str">
        <f t="shared" si="1"/>
        <v>UK</v>
      </c>
      <c r="I11" t="str">
        <f t="shared" si="2"/>
        <v>OCT</v>
      </c>
    </row>
    <row r="12" spans="1:9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t="str">
        <f t="shared" si="0"/>
        <v>17</v>
      </c>
      <c r="H12" t="str">
        <f t="shared" si="1"/>
        <v>IN</v>
      </c>
      <c r="I12" t="str">
        <f t="shared" si="2"/>
        <v>JUN</v>
      </c>
    </row>
    <row r="13" spans="1:9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t="str">
        <f t="shared" si="0"/>
        <v>25</v>
      </c>
      <c r="H13" t="str">
        <f t="shared" si="1"/>
        <v>AU</v>
      </c>
      <c r="I13" t="str">
        <f t="shared" si="2"/>
        <v>NOV</v>
      </c>
    </row>
    <row r="14" spans="1:9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t="str">
        <f t="shared" si="0"/>
        <v>08</v>
      </c>
      <c r="H14" t="str">
        <f t="shared" si="1"/>
        <v>DE</v>
      </c>
      <c r="I14" t="str">
        <f t="shared" si="2"/>
        <v>DEC</v>
      </c>
    </row>
    <row r="15" spans="1:9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t="str">
        <f t="shared" si="0"/>
        <v>18</v>
      </c>
      <c r="H15" t="str">
        <f t="shared" si="1"/>
        <v>CA</v>
      </c>
      <c r="I15" t="str">
        <f t="shared" si="2"/>
        <v>FEB</v>
      </c>
    </row>
    <row r="16" spans="1:9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t="str">
        <f t="shared" si="0"/>
        <v>16</v>
      </c>
      <c r="H16" t="str">
        <f t="shared" si="1"/>
        <v>ES</v>
      </c>
      <c r="I16" t="str">
        <f t="shared" si="2"/>
        <v>APR</v>
      </c>
    </row>
    <row r="17" spans="1:9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t="str">
        <f t="shared" si="0"/>
        <v>21</v>
      </c>
      <c r="H17" t="str">
        <f t="shared" si="1"/>
        <v>CA</v>
      </c>
      <c r="I17" t="str">
        <f t="shared" si="2"/>
        <v>AUG</v>
      </c>
    </row>
    <row r="18" spans="1:9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t="str">
        <f t="shared" si="0"/>
        <v>20</v>
      </c>
      <c r="H18" t="str">
        <f t="shared" si="1"/>
        <v>CN</v>
      </c>
      <c r="I18" t="str">
        <f t="shared" si="2"/>
        <v>AUG</v>
      </c>
    </row>
    <row r="19" spans="1:9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t="str">
        <f t="shared" si="0"/>
        <v>27</v>
      </c>
      <c r="H19" t="str">
        <f t="shared" si="1"/>
        <v>IT</v>
      </c>
      <c r="I19" t="str">
        <f t="shared" si="2"/>
        <v>JAN</v>
      </c>
    </row>
    <row r="20" spans="1:9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t="str">
        <f t="shared" si="0"/>
        <v>01</v>
      </c>
      <c r="H20" t="str">
        <f t="shared" si="1"/>
        <v>UK</v>
      </c>
      <c r="I20" t="str">
        <f t="shared" si="2"/>
        <v>MAR</v>
      </c>
    </row>
    <row r="21" spans="1:9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t="str">
        <f t="shared" si="0"/>
        <v>14</v>
      </c>
      <c r="H21" t="str">
        <f t="shared" si="1"/>
        <v>US</v>
      </c>
      <c r="I21" t="str">
        <f t="shared" si="2"/>
        <v>AUG</v>
      </c>
    </row>
    <row r="22" spans="1:9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t="str">
        <f t="shared" si="0"/>
        <v>14</v>
      </c>
      <c r="H22" t="str">
        <f t="shared" si="1"/>
        <v>RU</v>
      </c>
      <c r="I22" t="str">
        <f t="shared" si="2"/>
        <v>MAY</v>
      </c>
    </row>
    <row r="23" spans="1:9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t="str">
        <f t="shared" si="0"/>
        <v>09</v>
      </c>
      <c r="H23" t="str">
        <f t="shared" si="1"/>
        <v>CA</v>
      </c>
      <c r="I23" t="str">
        <f t="shared" si="2"/>
        <v>JAN</v>
      </c>
    </row>
    <row r="24" spans="1:9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t="str">
        <f t="shared" si="0"/>
        <v>19</v>
      </c>
      <c r="H24" t="str">
        <f t="shared" si="1"/>
        <v>BR</v>
      </c>
      <c r="I24" t="str">
        <f t="shared" si="2"/>
        <v>JUL</v>
      </c>
    </row>
    <row r="25" spans="1:9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t="str">
        <f t="shared" si="0"/>
        <v>21</v>
      </c>
      <c r="H25" t="str">
        <f t="shared" si="1"/>
        <v>CA</v>
      </c>
      <c r="I25" t="str">
        <f t="shared" si="2"/>
        <v>AUG</v>
      </c>
    </row>
    <row r="26" spans="1:9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t="str">
        <f t="shared" si="0"/>
        <v>29</v>
      </c>
      <c r="H26" t="str">
        <f t="shared" si="1"/>
        <v>CA</v>
      </c>
      <c r="I26" t="str">
        <f t="shared" si="2"/>
        <v>SEP</v>
      </c>
    </row>
    <row r="27" spans="1:9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t="str">
        <f t="shared" si="0"/>
        <v>03</v>
      </c>
      <c r="H27" t="str">
        <f t="shared" si="1"/>
        <v>CA</v>
      </c>
      <c r="I27" t="str">
        <f t="shared" si="2"/>
        <v>JUN</v>
      </c>
    </row>
    <row r="28" spans="1:9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t="str">
        <f t="shared" si="0"/>
        <v>11</v>
      </c>
      <c r="H28" t="str">
        <f t="shared" si="1"/>
        <v>CA</v>
      </c>
      <c r="I28" t="str">
        <f t="shared" si="2"/>
        <v>JUL</v>
      </c>
    </row>
    <row r="29" spans="1:9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t="str">
        <f t="shared" si="0"/>
        <v>16</v>
      </c>
      <c r="H29" t="str">
        <f t="shared" si="1"/>
        <v>ES</v>
      </c>
      <c r="I29" t="str">
        <f t="shared" si="2"/>
        <v>APR</v>
      </c>
    </row>
    <row r="30" spans="1:9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t="str">
        <f t="shared" si="0"/>
        <v>07</v>
      </c>
      <c r="H30" t="str">
        <f t="shared" si="1"/>
        <v>CA</v>
      </c>
      <c r="I30" t="str">
        <f t="shared" si="2"/>
        <v>MAR</v>
      </c>
    </row>
    <row r="31" spans="1:9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t="str">
        <f t="shared" si="0"/>
        <v>13</v>
      </c>
      <c r="H31" t="str">
        <f t="shared" si="1"/>
        <v>CA</v>
      </c>
      <c r="I31" t="str">
        <f t="shared" si="2"/>
        <v>APR</v>
      </c>
    </row>
    <row r="32" spans="1:9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t="str">
        <f t="shared" si="0"/>
        <v>24</v>
      </c>
      <c r="H32" t="str">
        <f t="shared" si="1"/>
        <v>CA</v>
      </c>
      <c r="I32" t="str">
        <f t="shared" si="2"/>
        <v>MAY</v>
      </c>
    </row>
    <row r="33" spans="1:9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t="str">
        <f t="shared" si="0"/>
        <v>02</v>
      </c>
      <c r="H33" t="str">
        <f t="shared" si="1"/>
        <v>CA</v>
      </c>
      <c r="I33" t="str">
        <f t="shared" si="2"/>
        <v>DEC</v>
      </c>
    </row>
    <row r="34" spans="1:9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t="str">
        <f t="shared" si="0"/>
        <v>17</v>
      </c>
      <c r="H34" t="str">
        <f t="shared" si="1"/>
        <v>IN</v>
      </c>
      <c r="I34" t="str">
        <f t="shared" si="2"/>
        <v>JUN</v>
      </c>
    </row>
    <row r="35" spans="1:9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t="str">
        <f t="shared" si="0"/>
        <v>09</v>
      </c>
      <c r="H35" t="str">
        <f t="shared" si="1"/>
        <v>FR</v>
      </c>
      <c r="I35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SUM,COUNT,AVERAGE</vt:lpstr>
      <vt:lpstr>MAX,MIN</vt:lpstr>
      <vt:lpstr>IF</vt:lpstr>
      <vt:lpstr>SUMIF,COUNTIF</vt:lpstr>
      <vt:lpstr>LEFT,RIGHT,MID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Kalyani Sundaram S</cp:lastModifiedBy>
  <dcterms:modified xsi:type="dcterms:W3CDTF">2026-07-18T15:01:46Z</dcterms:modified>
</cp:coreProperties>
</file>